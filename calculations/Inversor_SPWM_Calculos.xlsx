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9f93600aa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1446c56072f4657"/>
    <x:sheet xmlns:r="http://schemas.openxmlformats.org/officeDocument/2006/relationships" name="SPWM" sheetId="2" r:id="R1204a74f021c4ef5"/>
    <x:sheet xmlns:r="http://schemas.openxmlformats.org/officeDocument/2006/relationships" name="Filtro_LC" sheetId="3" r:id="R22e3c2c21489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9">
    <x:numFmt numFmtId="200" formatCode="0.0 &quot;V&quot;"/>
    <x:numFmt numFmtId="201" formatCode="0.0 &quot;V RMS&quot;"/>
    <x:numFmt numFmtId="202" formatCode="0 &quot;Hz&quot;"/>
    <x:numFmt numFmtId="203" formatCode="0 &quot;W&quot;"/>
    <x:numFmt numFmtId="204" formatCode="0.00E+00 &quot;Hz&quot;"/>
    <x:numFmt numFmtId="205" formatCode="0"/>
    <x:numFmt numFmtId="206" formatCode="0.00 &quot;V&quot;"/>
    <x:numFmt numFmtId="207" formatCode="0.000 &quot;A&quot;"/>
    <x:numFmt numFmtId="208" formatCode="0.00 &quot;V RMS&quot;"/>
    <x:numFmt numFmtId="209" formatCode="0.0000 &quot;A&quot;"/>
    <x:numFmt numFmtId="210" formatCode="0.000 &quot;W&quot;"/>
    <x:numFmt numFmtId="211" formatCode="0.00%"/>
    <x:numFmt numFmtId="212" formatCode="0.0000 &quot;°&quot;"/>
    <x:numFmt numFmtId="213" formatCode="0.00"/>
    <x:numFmt numFmtId="214" formatCode="0.00 &quot;Hz&quot;"/>
    <x:numFmt numFmtId="215" formatCode="0.0000"/>
    <x:numFmt numFmtId="216" formatCode="0.000000"/>
    <x:numFmt numFmtId="217" formatCode="0.000 &quot;H&quot;"/>
    <x:numFmt numFmtId="218" formatCode="0.00E+00 &quot;F&quot;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333333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9" fontId="0" fillId="0" borderId="0" xfId="0" applyNumberFormat="1" applyFont="1" applyFill="1" applyBorder="1"/>
    <x:xf numFmtId="209" fontId="0" fillId="0" borderId="1" xfId="0" applyNumberFormat="1" applyFont="1" applyFill="1" applyBorder="1"/>
    <x:xf numFmtId="210" fontId="0" fillId="0" borderId="0" xfId="0" applyNumberFormat="1" applyFont="1" applyFill="1" applyBorder="1"/>
    <x:xf numFmtId="210" fontId="0" fillId="0" borderId="1" xfId="0" applyNumberFormat="1" applyFont="1" applyFill="1" applyBorder="1"/>
    <x:xf numFmtId="211" fontId="0" fillId="0" borderId="0" xfId="0" applyNumberFormat="1" applyFont="1" applyFill="1" applyBorder="1"/>
    <x:xf numFmtId="211" fontId="0" fillId="0" borderId="1" xfId="0" applyNumberFormat="1" applyFont="1" applyFill="1" applyBorder="1"/>
    <x:xf numFmtId="212" fontId="0" fillId="0" borderId="0" xfId="0" applyNumberFormat="1" applyFont="1" applyFill="1" applyBorder="1"/>
    <x:xf numFmtId="212" fontId="0" fillId="0" borderId="1" xfId="0" applyNumberFormat="1" applyFont="1" applyFill="1" applyBorder="1"/>
    <x:xf numFmtId="213" fontId="0" fillId="0" borderId="0" xfId="0" applyNumberFormat="1" applyFont="1" applyFill="1" applyBorder="1"/>
    <x:xf numFmtId="213" fontId="0" fillId="0" borderId="1" xfId="0" applyNumberFormat="1" applyFont="1" applyFill="1" applyBorder="1"/>
    <x:xf numFmtId="214" fontId="0" fillId="0" borderId="0" xfId="0" applyNumberFormat="1" applyFont="1" applyFill="1" applyBorder="1"/>
    <x:xf numFmtId="214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215" fontId="0" fillId="0" borderId="0" xfId="0" applyNumberFormat="1" applyFont="1" applyFill="1" applyBorder="1"/>
    <x:xf numFmtId="215" fontId="0" fillId="0" borderId="1" xfId="0" applyNumberFormat="1" applyFont="1" applyFill="1" applyBorder="1"/>
    <x:xf numFmtId="216" fontId="0" fillId="0" borderId="0" xfId="0" applyNumberFormat="1" applyFont="1" applyFill="1" applyBorder="1"/>
    <x:xf numFmtId="216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17" fontId="0" fillId="0" borderId="0" xfId="0" applyNumberFormat="1" applyFont="1" applyFill="1" applyBorder="1"/>
    <x:xf numFmtId="217" fontId="0" fillId="0" borderId="1" xfId="0" applyNumberFormat="1" applyFont="1" applyFill="1" applyBorder="1"/>
    <x:xf numFmtId="218" fontId="0" fillId="0" borderId="0" xfId="0" applyNumberFormat="1" applyFont="1" applyFill="1" applyBorder="1"/>
    <x:xf numFmtId="218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1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21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10" fontId="0" fillId="0" borderId="0" xfId="0" applyNumberFormat="1" applyFont="1" applyFill="1" applyBorder="1" applyAlignment="1">
      <x:alignment wrapText="1"/>
    </x:xf>
    <x:xf numFmtId="21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11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8" fontId="0" fillId="0" borderId="1" xfId="0" applyNumberFormat="1" applyFont="1" applyFill="1" applyBorder="1" applyAlignment="1">
      <x:alignment wrapText="1"/>
    </x:xf>
    <x:xf numFmtId="21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9" fontId="0" fillId="0" borderId="1" xfId="0" applyNumberFormat="1" applyFont="1" applyFill="1" applyBorder="1" applyAlignment="1">
      <x:alignment wrapText="1"/>
    </x:xf>
    <x:xf numFmtId="21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10" fontId="0" fillId="0" borderId="1" xfId="0" applyNumberFormat="1" applyFont="1" applyFill="1" applyBorder="1" applyAlignment="1">
      <x:alignment wrapText="1"/>
    </x:xf>
    <x:xf numFmtId="214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11" fontId="0" fillId="0" borderId="1" xfId="0" applyNumberFormat="1" applyFont="1" applyFill="1" applyBorder="1" applyAlignment="1">
      <x:alignment wrapText="1"/>
    </x:xf>
    <x:xf numFmtId="215" fontId="0" fillId="0" borderId="0" xfId="0" applyNumberFormat="1" applyFont="1" applyFill="1" applyBorder="1" applyAlignment="1">
      <x:alignment wrapText="1"/>
    </x:xf>
    <x:xf numFmtId="216" fontId="0" fillId="0" borderId="0" xfId="0" applyNumberFormat="1" applyFont="1" applyFill="1" applyBorder="1" applyAlignment="1">
      <x:alignment wrapText="1"/>
    </x:xf>
    <x:xf numFmtId="215" fontId="0" fillId="0" borderId="1" xfId="0" applyNumberFormat="1" applyFont="1" applyFill="1" applyBorder="1" applyAlignment="1">
      <x:alignment wrapText="1"/>
    </x:xf>
    <x:xf numFmtId="216" fontId="0" fillId="0" borderId="1" xfId="0" applyNumberFormat="1" applyFont="1" applyFill="1" applyBorder="1" applyAlignment="1">
      <x:alignment wrapText="1"/>
    </x:xf>
    <x:xf numFmtId="217" fontId="0" fillId="0" borderId="0" xfId="0" applyNumberFormat="1" applyFont="1" applyFill="1" applyBorder="1" applyAlignment="1">
      <x:alignment wrapText="1"/>
    </x:xf>
    <x:xf numFmtId="218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3db2e1d2645dc" /><Relationship Type="http://schemas.openxmlformats.org/officeDocument/2006/relationships/theme" Target="/xl/theme/theme1.xml" Id="R286684944f544fe7" /><Relationship Type="http://schemas.openxmlformats.org/officeDocument/2006/relationships/sharedStrings" Target="/xl/sharedStrings.xml" Id="R0b44c7d86bfd45d0" /><Relationship Type="http://schemas.openxmlformats.org/officeDocument/2006/relationships/worksheet" Target="/xl/worksheets/sheet1.xml" Id="Re1446c56072f4657" /><Relationship Type="http://schemas.openxmlformats.org/officeDocument/2006/relationships/worksheet" Target="/xl/worksheets/sheet2.xml" Id="R1204a74f021c4ef5" /><Relationship Type="http://schemas.openxmlformats.org/officeDocument/2006/relationships/worksheet" Target="/xl/worksheets/sheet3.xml" Id="R22e3c2c214894f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0ab210e36d48c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FPWM con n</c:v>
          </c:tx>
          <c:marker>
            <c:symbol val="none"/>
          </c:marker>
          <c:cat>
            <c:strRef>
              <c:f>'SPWM'!$A$14:$A$17</c:f>
              <c:strCache>
                <c:ptCount val="0"/>
              </c:strCache>
            </c:strRef>
          </c:cat>
          <c:val>
            <c:numRef>
              <c:f>'SPWM'!$E$14:$E$17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0ab210e36d48c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04f43529f0b4965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3" hidden="0" customWidth="1"/>
    <x:col min="4" max="4" width="23" hidden="0" customWidth="1"/>
    <x:col min="5" max="5" width="18" hidden="0" customWidth="1"/>
    <x:col min="6" max="6" width="3" hidden="0" customWidth="1"/>
    <x:col min="7" max="7" width="26" hidden="0" customWidth="1"/>
    <x:col min="8" max="8" width="18" hidden="0" customWidth="1"/>
  </x:cols>
  <x:sheetData>
    <x:row r="1" ht="28" customHeight="1">
      <x:c r="A1" s="5" t="str">
        <x:v>Inversor Senoidal SPWM con FPGA - Resumen de Diseño</x:v>
      </x:c>
      <x:c r="B1" s="5"/>
      <x:c r="C1" s="5"/>
      <x:c r="D1" s="5"/>
      <x:c r="E1" s="5"/>
      <x:c r="F1" s="5"/>
      <x:c r="G1" s="5"/>
      <x:c r="H1" s="5"/>
    </x:row>
    <x:row r="3">
      <x:c r="A3" s="82" t="str">
        <x:v>Objetivo de diseño</x:v>
      </x:c>
      <x:c r="B3" s="82"/>
      <x:c r="C3" s="83"/>
      <x:c r="D3" s="82" t="str">
        <x:v>Prueba experimental reportada</x:v>
      </x:c>
      <x:c r="E3" s="82"/>
      <x:c r="F3" s="83"/>
      <x:c r="G3" s="82" t="str">
        <x:v>Resultados SPWM seleccionados</x:v>
      </x:c>
      <x:c r="H3" s="82"/>
    </x:row>
    <x:row r="4">
      <x:c r="A4" s="22" t="str">
        <x:v>Parámetro</x:v>
      </x:c>
      <x:c r="B4" s="22" t="str">
        <x:v>Valor</x:v>
      </x:c>
      <x:c r="C4" s="83"/>
      <x:c r="D4" s="22" t="str">
        <x:v>Parámetro</x:v>
      </x:c>
      <x:c r="E4" s="22" t="str">
        <x:v>Valor</x:v>
      </x:c>
      <x:c r="F4" s="83"/>
      <x:c r="G4" s="22" t="str">
        <x:v>Parámetro</x:v>
      </x:c>
      <x:c r="H4" s="22" t="str">
        <x:v>Valor</x:v>
      </x:c>
    </x:row>
    <x:row r="5">
      <x:c r="A5" s="84" t="str">
        <x:v>Entrada DC de diseño</x:v>
      </x:c>
      <x:c r="B5" s="85" t="n">
        <x:v>24</x:v>
      </x:c>
      <x:c r="C5" s="83"/>
      <x:c r="D5" s="84" t="str">
        <x:v>Vin medida</x:v>
      </x:c>
      <x:c r="E5" s="86" t="n">
        <x:v>27.7</x:v>
      </x:c>
      <x:c r="F5" s="83"/>
      <x:c r="G5" s="84" t="str">
        <x:v>Resolución LUT</x:v>
      </x:c>
      <x:c r="H5" s="83" t="n">
        <x:v>7</x:v>
      </x:c>
    </x:row>
    <x:row r="6">
      <x:c r="A6" s="84" t="str">
        <x:v>Salida AC objetivo</x:v>
      </x:c>
      <x:c r="B6" s="87" t="n">
        <x:v>120</x:v>
      </x:c>
      <x:c r="C6" s="83"/>
      <x:c r="D6" s="84" t="str">
        <x:v>Iin medida</x:v>
      </x:c>
      <x:c r="E6" s="88" t="n">
        <x:v>0.38</x:v>
      </x:c>
      <x:c r="F6" s="83"/>
      <x:c r="G6" s="84" t="str">
        <x:v>Puntos LUT</x:v>
      </x:c>
      <x:c r="H6" s="83" t="n">
        <x:f>2^H5</x:f>
        <x:v>128</x:v>
      </x:c>
    </x:row>
    <x:row r="7">
      <x:c r="A7" s="84" t="str">
        <x:v>Frecuencia de salida</x:v>
      </x:c>
      <x:c r="B7" s="89" t="n">
        <x:v>60</x:v>
      </x:c>
      <x:c r="C7" s="83"/>
      <x:c r="D7" s="84" t="str">
        <x:v>Vout medida</x:v>
      </x:c>
      <x:c r="E7" s="90" t="n">
        <x:v>120.03</x:v>
      </x:c>
      <x:c r="F7" s="83"/>
      <x:c r="G7" s="84" t="str">
        <x:v>Paso angular</x:v>
      </x:c>
      <x:c r="H7" s="91" t="n">
        <x:f>360/H6</x:f>
        <x:v>2.8125</x:v>
      </x:c>
    </x:row>
    <x:row r="8">
      <x:c r="A8" s="84" t="str">
        <x:v>Carga objetivo</x:v>
      </x:c>
      <x:c r="B8" s="92" t="n">
        <x:v>10</x:v>
      </x:c>
      <x:c r="C8" s="83"/>
      <x:c r="D8" s="84" t="str">
        <x:v>Iout medida</x:v>
      </x:c>
      <x:c r="E8" s="93" t="n">
        <x:v>0.0789</x:v>
      </x:c>
      <x:c r="F8" s="83"/>
      <x:c r="G8" s="84" t="str">
        <x:v>Periodo Timer</x:v>
      </x:c>
      <x:c r="H8" s="94" t="n">
        <x:f>$B$9/($B$7*H6)</x:f>
        <x:v>6510.416666666667</x:v>
      </x:c>
    </x:row>
    <x:row r="9">
      <x:c r="A9" s="84" t="str">
        <x:v>Reloj FPGA</x:v>
      </x:c>
      <x:c r="B9" s="95" t="n">
        <x:v>50000000</x:v>
      </x:c>
      <x:c r="C9" s="83"/>
      <x:c r="D9" s="84" t="str">
        <x:v>Potencia de entrada</x:v>
      </x:c>
      <x:c r="E9" s="96" t="n">
        <x:f>E5*E6</x:f>
        <x:v>10.526</x:v>
      </x:c>
      <x:c r="F9" s="83"/>
      <x:c r="G9" s="84" t="str">
        <x:v>FPWM</x:v>
      </x:c>
      <x:c r="H9" s="97" t="n">
        <x:f>$B$9/(H8/2)</x:f>
        <x:v>15360</x:v>
      </x:c>
    </x:row>
    <x:row r="10">
      <x:c r="A10" s="84" t="str">
        <x:v>Puntos LUT</x:v>
      </x:c>
      <x:c r="B10" s="98" t="n">
        <x:v>128</x:v>
      </x:c>
      <x:c r="C10" s="83"/>
      <x:c r="D10" s="84" t="str">
        <x:v>Potencia de salida</x:v>
      </x:c>
      <x:c r="E10" s="96" t="n">
        <x:f>E7*E8</x:f>
        <x:v>9.470367</x:v>
      </x:c>
      <x:c r="F10" s="83"/>
      <x:c r="G10" s="84" t="str">
        <x:v>Límite contador portadora</x:v>
      </x:c>
      <x:c r="H10" s="94" t="n">
        <x:f>H8/2</x:f>
        <x:v>3255.2083333333335</x:v>
      </x:c>
    </x:row>
    <x:row r="11">
      <x:c r="A11" s="83"/>
      <x:c r="B11" s="83"/>
      <x:c r="C11" s="83"/>
      <x:c r="D11" s="84" t="str">
        <x:v>Eficiencia</x:v>
      </x:c>
      <x:c r="E11" s="99" t="n">
        <x:f>E10/E9</x:f>
        <x:v>0.8997118563556906</x:v>
      </x:c>
      <x:c r="F11" s="83"/>
      <x:c r="G11" s="84" t="str">
        <x:v>Índice de modulación aprox.</x:v>
      </x:c>
      <x:c r="H11" s="99" t="n">
        <x:f>3000/H10</x:f>
        <x:v>0.9216</x:v>
      </x:c>
    </x:row>
    <x:row r="13">
      <x:c r="A13" s="65" t="str">
        <x:v>Fuente de datos: Reporte_P1_Leonardo.pdf. El reporte define el objetivo de 24 V DC a 120 V AC RMS / 60 Hz, una LUT de 128 puntos y una prueba experimental con 27.7 V, 0.38 A de entrada y 120.03 V, 0.0789 A de salida. La eficiencia calculada a partir de esos valores es ~89.97%.</x:v>
      </x:c>
      <x:c r="B13" s="65"/>
      <x:c r="C13" s="65"/>
      <x:c r="D13" s="65"/>
      <x:c r="E13" s="65"/>
      <x:c r="F13" s="65"/>
      <x:c r="G13" s="65"/>
      <x:c r="H13" s="65"/>
    </x:row>
    <x:row r="14">
      <x:c r="A14" s="65"/>
      <x:c r="B14" s="65"/>
      <x:c r="C14" s="65"/>
      <x:c r="D14" s="65"/>
      <x:c r="E14" s="65"/>
      <x:c r="F14" s="65"/>
      <x:c r="G14" s="65"/>
      <x:c r="H14" s="65"/>
    </x:row>
    <x:row r="15">
      <x:c r="A15" s="65"/>
      <x:c r="B15" s="65"/>
      <x:c r="C15" s="65"/>
      <x:c r="D15" s="65"/>
      <x:c r="E15" s="65"/>
      <x:c r="F15" s="65"/>
      <x:c r="G15" s="65"/>
      <x:c r="H15" s="65"/>
    </x:row>
  </x:sheetData>
  <x:mergeCells>
    <x:mergeCell ref="A1:H1"/>
    <x:mergeCell ref="A3:B3"/>
    <x:mergeCell ref="D3:E3"/>
    <x:mergeCell ref="G3:H3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5" hidden="0" customWidth="1"/>
    <x:col min="4" max="4" width="25" hidden="0" customWidth="1"/>
    <x:col min="5" max="5" width="16" hidden="0" customWidth="1"/>
    <x:col min="6" max="6" width="13" hidden="0" customWidth="1"/>
    <x:col min="7" max="7" width="14" hidden="0" customWidth="1"/>
    <x:col min="8" max="8" width="13" hidden="0" customWidth="1"/>
  </x:cols>
  <x:sheetData>
    <x:row r="1" ht="28" customHeight="1">
      <x:c r="A1" s="5" t="str">
        <x:v>Cálculos de Modulación SPWM</x:v>
      </x:c>
      <x:c r="B1" s="5"/>
      <x:c r="C1" s="5"/>
      <x:c r="D1" s="5"/>
      <x:c r="E1" s="5"/>
      <x:c r="F1" s="5"/>
      <x:c r="G1" s="5"/>
      <x:c r="H1" s="5"/>
    </x:row>
    <x:row r="3">
      <x:c r="A3" s="82" t="str">
        <x:v>Entradas de diseño</x:v>
      </x:c>
      <x:c r="B3" s="82"/>
      <x:c r="C3" s="83"/>
      <x:c r="D3" s="82" t="str">
        <x:v>Resultados calculados</x:v>
      </x:c>
      <x:c r="E3" s="82"/>
      <x:c r="F3" s="82"/>
      <x:c r="G3" s="83"/>
      <x:c r="H3" s="83"/>
    </x:row>
    <x:row r="4">
      <x:c r="A4" s="22" t="str">
        <x:v>Parámetro</x:v>
      </x:c>
      <x:c r="B4" s="22" t="str">
        <x:v>Valor</x:v>
      </x:c>
      <x:c r="C4" s="83"/>
      <x:c r="D4" s="22" t="str">
        <x:v>Parámetro</x:v>
      </x:c>
      <x:c r="E4" s="22" t="str">
        <x:v>Valor</x:v>
      </x:c>
      <x:c r="F4" s="22" t="str">
        <x:v>Unidad</x:v>
      </x:c>
      <x:c r="G4" s="83"/>
      <x:c r="H4" s="83"/>
    </x:row>
    <x:row r="5">
      <x:c r="A5" s="84" t="str">
        <x:v>CLK FPGA</x:v>
      </x:c>
      <x:c r="B5" s="95" t="n">
        <x:v>50000000</x:v>
      </x:c>
      <x:c r="C5" s="83"/>
      <x:c r="D5" s="84" t="str">
        <x:v>Puntos LUT</x:v>
      </x:c>
      <x:c r="E5" s="83" t="n">
        <x:f>2^B7</x:f>
        <x:v>128</x:v>
      </x:c>
      <x:c r="F5" s="83" t="str">
        <x:v>puntos</x:v>
      </x:c>
      <x:c r="G5" s="83"/>
      <x:c r="H5" s="83"/>
    </x:row>
    <x:row r="6">
      <x:c r="A6" s="84" t="str">
        <x:v>Frecuencia de salida</x:v>
      </x:c>
      <x:c r="B6" s="89" t="n">
        <x:v>60</x:v>
      </x:c>
      <x:c r="C6" s="83"/>
      <x:c r="D6" s="84" t="str">
        <x:v>Periodo Timer</x:v>
      </x:c>
      <x:c r="E6" s="94" t="n">
        <x:f>B5/(B6*E5)</x:f>
        <x:v>6510.416666666667</x:v>
      </x:c>
      <x:c r="F6" s="83" t="str">
        <x:v>cuentas</x:v>
      </x:c>
      <x:c r="G6" s="83"/>
      <x:c r="H6" s="83"/>
    </x:row>
    <x:row r="7">
      <x:c r="A7" s="84" t="str">
        <x:v>Bits LUT</x:v>
      </x:c>
      <x:c r="B7" s="83" t="n">
        <x:v>7</x:v>
      </x:c>
      <x:c r="C7" s="83"/>
      <x:c r="D7" s="84" t="str">
        <x:v>Frecuencia base PWM</x:v>
      </x:c>
      <x:c r="E7" s="94" t="n">
        <x:f>B5/E6</x:f>
        <x:v>7680</x:v>
      </x:c>
      <x:c r="F7" s="83" t="str">
        <x:v>Hz</x:v>
      </x:c>
      <x:c r="G7" s="83"/>
      <x:c r="H7" s="83"/>
    </x:row>
    <x:row r="8">
      <x:c r="A8" s="84" t="str">
        <x:v>Factor n</x:v>
      </x:c>
      <x:c r="B8" s="83" t="n">
        <x:v>2</x:v>
      </x:c>
      <x:c r="C8" s="83"/>
      <x:c r="D8" s="84" t="str">
        <x:v>Frecuencia PWM con n</x:v>
      </x:c>
      <x:c r="E8" s="94" t="n">
        <x:f>E7*B8</x:f>
        <x:v>15360</x:v>
      </x:c>
      <x:c r="F8" s="83" t="str">
        <x:v>Hz</x:v>
      </x:c>
      <x:c r="G8" s="83"/>
      <x:c r="H8" s="83"/>
    </x:row>
    <x:row r="9">
      <x:c r="A9" s="84" t="str">
        <x:v>Amplitud máxima LUT</x:v>
      </x:c>
      <x:c r="B9" s="83" t="n">
        <x:v>3000</x:v>
      </x:c>
      <x:c r="C9" s="83"/>
      <x:c r="D9" s="84" t="str">
        <x:v>Límite contador portadora</x:v>
      </x:c>
      <x:c r="E9" s="94" t="n">
        <x:f>E6/B8</x:f>
        <x:v>3255.2083333333335</x:v>
      </x:c>
      <x:c r="F9" s="83" t="str">
        <x:v>cuentas</x:v>
      </x:c>
      <x:c r="G9" s="83"/>
      <x:c r="H9" s="83"/>
    </x:row>
    <x:row r="10">
      <x:c r="A10" s="84" t="str">
        <x:v>Frecuencia nominal puente H</x:v>
      </x:c>
      <x:c r="B10" s="89" t="n">
        <x:v>15360</x:v>
      </x:c>
      <x:c r="C10" s="83"/>
      <x:c r="D10" s="84" t="str">
        <x:v>Paso angular</x:v>
      </x:c>
      <x:c r="E10" s="118" t="n">
        <x:f>360/E5</x:f>
        <x:v>2.8125</x:v>
      </x:c>
      <x:c r="F10" s="83" t="str">
        <x:v>°</x:v>
      </x:c>
      <x:c r="G10" s="83"/>
      <x:c r="H10" s="83"/>
    </x:row>
    <x:row r="11">
      <x:c r="A11" s="83"/>
      <x:c r="B11" s="83"/>
      <x:c r="C11" s="83"/>
      <x:c r="D11" s="84" t="str">
        <x:v>Paso angular</x:v>
      </x:c>
      <x:c r="E11" s="119" t="n">
        <x:f>2*PI()/E5</x:f>
        <x:v>0.04908738521234052</x:v>
      </x:c>
      <x:c r="F11" s="83" t="str">
        <x:v>rad</x:v>
      </x:c>
      <x:c r="G11" s="83"/>
      <x:c r="H11" s="83"/>
    </x:row>
    <x:row r="12">
      <x:c r="A12" s="82" t="str">
        <x:v>Comparación de resolución LUT (CLK = 50 MHz, Fout = 60 Hz, n = 2)</x:v>
      </x:c>
      <x:c r="B12" s="82"/>
      <x:c r="C12" s="82"/>
      <x:c r="D12" s="82" t="str">
        <x:v>Bits requeridos Timer</x:v>
      </x:c>
      <x:c r="E12" s="82" t="n">
        <x:f>CEILING(LOG(E6,2),1)</x:f>
        <x:v>13</x:v>
      </x:c>
      <x:c r="F12" s="82" t="str">
        <x:v>bits</x:v>
      </x:c>
      <x:c r="G12" s="82"/>
      <x:c r="H12" s="82"/>
    </x:row>
    <x:row r="13">
      <x:c r="A13" s="22" t="str">
        <x:v>Bits LUT</x:v>
      </x:c>
      <x:c r="B13" s="22" t="str">
        <x:v>Puntos</x:v>
      </x:c>
      <x:c r="C13" s="22" t="str">
        <x:v>Timer</x:v>
      </x:c>
      <x:c r="D13" s="22" t="str">
        <x:v>FPWM base</x:v>
      </x:c>
      <x:c r="E13" s="22" t="str">
        <x:v>FPWM con n</x:v>
      </x:c>
      <x:c r="F13" s="22" t="str">
        <x:v>Paso (°)</x:v>
      </x:c>
      <x:c r="G13" s="22" t="str">
        <x:v>Paso (rad)</x:v>
      </x:c>
      <x:c r="H13" s="22" t="str">
        <x:v>Bits Timer</x:v>
      </x:c>
    </x:row>
    <x:row r="14">
      <x:c r="A14" s="83" t="n">
        <x:v>7</x:v>
      </x:c>
      <x:c r="B14" s="83" t="n">
        <x:f>2^A14</x:f>
        <x:v>128</x:v>
      </x:c>
      <x:c r="C14" s="94" t="n">
        <x:f>$B$5/($B$6*B14)</x:f>
        <x:v>6510.416666666667</x:v>
      </x:c>
      <x:c r="D14" s="94" t="n">
        <x:f>$B$5/C14</x:f>
        <x:v>7680</x:v>
      </x:c>
      <x:c r="E14" s="94" t="n">
        <x:f>D14*$B$8</x:f>
        <x:v>15360</x:v>
      </x:c>
      <x:c r="F14" s="118" t="n">
        <x:f>360/B14</x:f>
        <x:v>2.8125</x:v>
      </x:c>
      <x:c r="G14" s="119" t="n">
        <x:f>2*PI()/B14</x:f>
        <x:v>0.04908738521234052</x:v>
      </x:c>
      <x:c r="H14" s="83" t="n">
        <x:f>CEILING(LOG(C14,2),1)</x:f>
        <x:v>13</x:v>
      </x:c>
    </x:row>
    <x:row r="15">
      <x:c r="A15" s="83" t="n">
        <x:v>8</x:v>
      </x:c>
      <x:c r="B15" s="83" t="n">
        <x:f>2^A15</x:f>
        <x:v>256</x:v>
      </x:c>
      <x:c r="C15" s="94" t="n">
        <x:f>$B$5/($B$6*B15)</x:f>
        <x:v>3255.2083333333335</x:v>
      </x:c>
      <x:c r="D15" s="94" t="n">
        <x:f>$B$5/C15</x:f>
        <x:v>15360</x:v>
      </x:c>
      <x:c r="E15" s="94" t="n">
        <x:f>D15*$B$8</x:f>
        <x:v>30720</x:v>
      </x:c>
      <x:c r="F15" s="118" t="n">
        <x:f>360/B15</x:f>
        <x:v>1.40625</x:v>
      </x:c>
      <x:c r="G15" s="119" t="n">
        <x:f>2*PI()/B15</x:f>
        <x:v>0.02454369260617026</x:v>
      </x:c>
      <x:c r="H15" s="83" t="n">
        <x:f>CEILING(LOG(C15,2),1)</x:f>
        <x:v>12</x:v>
      </x:c>
    </x:row>
    <x:row r="16">
      <x:c r="A16" s="83" t="n">
        <x:v>9</x:v>
      </x:c>
      <x:c r="B16" s="83" t="n">
        <x:f>2^A16</x:f>
        <x:v>512</x:v>
      </x:c>
      <x:c r="C16" s="94" t="n">
        <x:f>$B$5/($B$6*B16)</x:f>
        <x:v>1627.6041666666667</x:v>
      </x:c>
      <x:c r="D16" s="94" t="n">
        <x:f>$B$5/C16</x:f>
        <x:v>30720</x:v>
      </x:c>
      <x:c r="E16" s="94" t="n">
        <x:f>D16*$B$8</x:f>
        <x:v>61440</x:v>
      </x:c>
      <x:c r="F16" s="118" t="n">
        <x:f>360/B16</x:f>
        <x:v>0.703125</x:v>
      </x:c>
      <x:c r="G16" s="119" t="n">
        <x:f>2*PI()/B16</x:f>
        <x:v>0.01227184630308513</x:v>
      </x:c>
      <x:c r="H16" s="83" t="n">
        <x:f>CEILING(LOG(C16,2),1)</x:f>
        <x:v>11</x:v>
      </x:c>
    </x:row>
    <x:row r="17">
      <x:c r="A17" s="83" t="n">
        <x:v>10</x:v>
      </x:c>
      <x:c r="B17" s="83" t="n">
        <x:f>2^A17</x:f>
        <x:v>1024</x:v>
      </x:c>
      <x:c r="C17" s="94" t="n">
        <x:f>$B$5/($B$6*B17)</x:f>
        <x:v>813.8020833333334</x:v>
      </x:c>
      <x:c r="D17" s="94" t="n">
        <x:f>$B$5/C17</x:f>
        <x:v>61440</x:v>
      </x:c>
      <x:c r="E17" s="94" t="n">
        <x:f>D17*$B$8</x:f>
        <x:v>122880</x:v>
      </x:c>
      <x:c r="F17" s="118" t="n">
        <x:f>360/B17</x:f>
        <x:v>0.3515625</x:v>
      </x:c>
      <x:c r="G17" s="119" t="n">
        <x:f>2*PI()/B17</x:f>
        <x:v>0.006135923151542565</x:v>
      </x:c>
      <x:c r="H17" s="83" t="n">
        <x:f>CEILING(LOG(C17,2),1)</x:f>
        <x:v>10</x:v>
      </x:c>
    </x:row>
    <x:row r="19">
      <x:c r="A19" s="65" t="str">
        <x:v>Nota de diseño: en el reporte se seleccionaron 128 puntos (7 bits) y n = 2, obteniendo FPWM = 15.36 kHz. La LUT se limitó a 3000 frente a un contador de portadora de ~3255 cuentas, equivalente a ~92% de modulación, para evitar recorte de la referencia senoidal.</x:v>
      </x:c>
      <x:c r="B19" s="65"/>
      <x:c r="C19" s="65"/>
      <x:c r="D19" s="65"/>
      <x:c r="E19" s="65"/>
      <x:c r="F19" s="65"/>
      <x:c r="G19" s="65"/>
      <x:c r="H19" s="65"/>
    </x:row>
    <x:row r="20">
      <x:c r="A20" s="65"/>
      <x:c r="B20" s="65"/>
      <x:c r="C20" s="65"/>
      <x:c r="D20" s="65"/>
      <x:c r="E20" s="65"/>
      <x:c r="F20" s="65"/>
      <x:c r="G20" s="65"/>
      <x:c r="H20" s="65"/>
    </x:row>
    <x:row r="21">
      <x:c r="A21" s="65"/>
      <x:c r="B21" s="65"/>
      <x:c r="C21" s="65"/>
      <x:c r="D21" s="65"/>
      <x:c r="E21" s="65"/>
      <x:c r="F21" s="65"/>
      <x:c r="G21" s="65"/>
      <x:c r="H21" s="65"/>
    </x:row>
  </x:sheetData>
  <x:mergeCells>
    <x:mergeCell ref="A1:H1"/>
    <x:mergeCell ref="A3:B3"/>
    <x:mergeCell ref="D3:F3"/>
    <x:mergeCell ref="A12:H12"/>
    <x:mergeCell ref="A19:H21"/>
  </x:mergeCells>
  <x:pageMargins left="0.7" right="0.7" top="0.75" bottom="0.75" header="0.3" footer="0.3"/>
  <x:drawing xmlns:r="http://schemas.openxmlformats.org/officeDocument/2006/relationships" r:id="R604f43529f0b4965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2" hidden="0" customWidth="1"/>
  </x:cols>
  <x:sheetData>
    <x:row r="1" ht="28" customHeight="1">
      <x:c r="A1" s="5" t="str">
        <x:v>Dimensionamiento Exploratorio del Filtro LC</x:v>
      </x:c>
      <x:c r="B1" s="5"/>
      <x:c r="C1" s="5"/>
      <x:c r="D1" s="5"/>
      <x:c r="E1" s="5"/>
      <x:c r="F1" s="5"/>
    </x:row>
    <x:row r="3">
      <x:c r="A3" s="82" t="str">
        <x:v>Entradas</x:v>
      </x:c>
      <x:c r="B3" s="82"/>
      <x:c r="C3" s="83"/>
      <x:c r="D3" s="82" t="str">
        <x:v>Criterio de frecuencia de corte</x:v>
      </x:c>
      <x:c r="E3" s="82"/>
      <x:c r="F3" s="82"/>
    </x:row>
    <x:row r="4">
      <x:c r="A4" s="22" t="str">
        <x:v>Parámetro</x:v>
      </x:c>
      <x:c r="B4" s="22" t="str">
        <x:v>Valor</x:v>
      </x:c>
      <x:c r="C4" s="83"/>
      <x:c r="D4" s="22" t="str">
        <x:v>Parámetro</x:v>
      </x:c>
      <x:c r="E4" s="22" t="str">
        <x:v>Valor</x:v>
      </x:c>
      <x:c r="F4" s="22" t="str">
        <x:v>Unidad</x:v>
      </x:c>
    </x:row>
    <x:row r="5">
      <x:c r="A5" s="84" t="str">
        <x:v>Frecuencia fundamental</x:v>
      </x:c>
      <x:c r="B5" s="89" t="n">
        <x:v>60</x:v>
      </x:c>
      <x:c r="C5" s="83"/>
      <x:c r="D5" s="84" t="str">
        <x:v>fc mínima = 10·Fout</x:v>
      </x:c>
      <x:c r="E5" s="94" t="n">
        <x:f>10*B5</x:f>
        <x:v>600</x:v>
      </x:c>
      <x:c r="F5" s="83" t="str">
        <x:v>Hz</x:v>
      </x:c>
    </x:row>
    <x:row r="6">
      <x:c r="A6" s="84" t="str">
        <x:v>Frecuencia PWM</x:v>
      </x:c>
      <x:c r="B6" s="89" t="n">
        <x:v>15360</x:v>
      </x:c>
      <x:c r="C6" s="83"/>
      <x:c r="D6" s="84" t="str">
        <x:v>fc máxima = FPWM/10</x:v>
      </x:c>
      <x:c r="E6" s="94" t="n">
        <x:f>B6/10</x:f>
        <x:v>1536</x:v>
      </x:c>
      <x:c r="F6" s="83" t="str">
        <x:v>Hz</x:v>
      </x:c>
    </x:row>
    <x:row r="7">
      <x:c r="A7" s="84" t="str">
        <x:v>Inductancia candidata</x:v>
      </x:c>
      <x:c r="B7" s="122" t="n">
        <x:v>0.808</x:v>
      </x:c>
      <x:c r="C7" s="83"/>
      <x:c r="D7" s="84" t="str">
        <x:v>fc seleccionada</x:v>
      </x:c>
      <x:c r="E7" s="94" t="n">
        <x:f>B8</x:f>
        <x:v>1000</x:v>
      </x:c>
      <x:c r="F7" s="83" t="str">
        <x:v>Hz</x:v>
      </x:c>
    </x:row>
    <x:row r="8">
      <x:c r="A8" s="84" t="str">
        <x:v>Frecuencia de corte seleccionada</x:v>
      </x:c>
      <x:c r="B8" s="89" t="n">
        <x:v>1000</x:v>
      </x:c>
      <x:c r="C8" s="83"/>
      <x:c r="D8" s="84" t="str">
        <x:v>Cumple criterio</x:v>
      </x:c>
      <x:c r="E8" s="83" t="str">
        <x:f>IF(AND(E7&gt;=E5,E7&lt;=E6),"Sí","No")</x:f>
        <x:v>Sí</x:v>
      </x:c>
      <x:c r="F8" s="83" t="str"/>
    </x:row>
    <x:row r="9">
      <x:c r="A9" s="83"/>
      <x:c r="B9" s="83"/>
      <x:c r="C9" s="83"/>
      <x:c r="D9" s="83"/>
      <x:c r="E9" s="83"/>
      <x:c r="F9" s="83"/>
    </x:row>
    <x:row r="10">
      <x:c r="A10" s="82" t="str">
        <x:v>Cálculo de C para una inductancia seleccionada</x:v>
      </x:c>
      <x:c r="B10" s="82"/>
      <x:c r="C10" s="82"/>
      <x:c r="D10" s="83"/>
      <x:c r="E10" s="83"/>
      <x:c r="F10" s="83"/>
    </x:row>
    <x:row r="11">
      <x:c r="A11" s="22" t="str">
        <x:v>Frecuencia de corte</x:v>
      </x:c>
      <x:c r="B11" s="22" t="str">
        <x:v>L</x:v>
      </x:c>
      <x:c r="C11" s="22" t="str">
        <x:v>C calculada</x:v>
      </x:c>
      <x:c r="D11" s="83"/>
      <x:c r="E11" s="83"/>
      <x:c r="F11" s="83"/>
    </x:row>
    <x:row r="12">
      <x:c r="A12" s="89" t="n">
        <x:v>600</x:v>
      </x:c>
      <x:c r="B12" s="122" t="n">
        <x:f>$B$7</x:f>
        <x:v>0.808</x:v>
      </x:c>
      <x:c r="C12" s="123" t="n">
        <x:f>1/((2*PI()*A12)^2*B12)</x:f>
        <x:v>8.70816003526693e-8</x:v>
      </x:c>
      <x:c r="D12" s="83"/>
      <x:c r="E12" s="83"/>
      <x:c r="F12" s="83"/>
    </x:row>
    <x:row r="13">
      <x:c r="A13" s="89" t="n">
        <x:v>1000</x:v>
      </x:c>
      <x:c r="B13" s="122" t="n">
        <x:f>$B$7</x:f>
        <x:v>0.808</x:v>
      </x:c>
      <x:c r="C13" s="123" t="n">
        <x:f>1/((2*PI()*A13)^2*B13)</x:f>
        <x:v>3.134937612696095e-8</x:v>
      </x:c>
      <x:c r="D13" s="83"/>
      <x:c r="E13" s="83"/>
      <x:c r="F13" s="83"/>
    </x:row>
    <x:row r="14">
      <x:c r="A14" s="89" t="n">
        <x:v>1536</x:v>
      </x:c>
      <x:c r="B14" s="122" t="n">
        <x:f>$B$7</x:f>
        <x:v>0.808</x:v>
      </x:c>
      <x:c r="C14" s="123" t="n">
        <x:f>1/((2*PI()*A14)^2*B14)</x:f>
        <x:v>1.3287597710063061e-8</x:v>
      </x:c>
      <x:c r="D14" s="83"/>
      <x:c r="E14" s="83"/>
      <x:c r="F14" s="83"/>
    </x:row>
    <x:row r="16">
      <x:c r="A16" s="65" t="str">
        <x:v>Importante: el reporte describe el criterio del filtro LC, pero en la conclusión lo presenta como una posible mejora. Por ello, esta hoja se mantiene como dimensionamiento exploratorio y no como evidencia de un filtro final validado. La inductancia de 0.808 H proviene del archivo de cálculos original y debe verificarse contra el componente realmente utilizado.</x:v>
      </x:c>
      <x:c r="B16" s="65"/>
      <x:c r="C16" s="65"/>
      <x:c r="D16" s="65"/>
      <x:c r="E16" s="65"/>
      <x:c r="F16" s="65"/>
    </x:row>
    <x:row r="17">
      <x:c r="A17" s="65"/>
      <x:c r="B17" s="65"/>
      <x:c r="C17" s="65"/>
      <x:c r="D17" s="65"/>
      <x:c r="E17" s="65"/>
      <x:c r="F17" s="65"/>
    </x:row>
    <x:row r="18">
      <x:c r="A18" s="65"/>
      <x:c r="B18" s="65"/>
      <x:c r="C18" s="65"/>
      <x:c r="D18" s="65"/>
      <x:c r="E18" s="65"/>
      <x:c r="F18" s="65"/>
    </x:row>
    <x:row r="19">
      <x:c r="A19" s="65"/>
      <x:c r="B19" s="65"/>
      <x:c r="C19" s="65"/>
      <x:c r="D19" s="65"/>
      <x:c r="E19" s="65"/>
      <x:c r="F19" s="65"/>
    </x:row>
  </x:sheetData>
  <x:mergeCells>
    <x:mergeCell ref="A1:F1"/>
    <x:mergeCell ref="A3:B3"/>
    <x:mergeCell ref="D3:F3"/>
    <x:mergeCell ref="A10:C10"/>
    <x:mergeCell ref="A16:F19"/>
  </x:mergeCells>
  <x:pageMargins left="0.7" right="0.7" top="0.75" bottom="0.75" header="0.3" footer="0.3"/>
</x:worksheet>
</file>